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ed88dbee1b93cd8/Documentos/CODES/stats_mapper/miscellaneous/"/>
    </mc:Choice>
  </mc:AlternateContent>
  <xr:revisionPtr revIDLastSave="443" documentId="8_{BE33FDA9-19B6-4B31-AA1F-611CC0253A70}" xr6:coauthVersionLast="47" xr6:coauthVersionMax="47" xr10:uidLastSave="{E3E7BA0C-ECB6-439F-A3A1-45808A75F468}"/>
  <bookViews>
    <workbookView xWindow="-108" yWindow="-108" windowWidth="23256" windowHeight="12576" activeTab="1" xr2:uid="{BE938C05-B8CD-4D08-9F63-55FCECBD978B}"/>
  </bookViews>
  <sheets>
    <sheet name="colorbrewer2.org " sheetId="1" r:id="rId1"/>
    <sheet name="custom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E3" i="2"/>
  <c r="C3" i="2"/>
  <c r="J3" i="2"/>
  <c r="K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I4" i="2"/>
  <c r="I5" i="2"/>
  <c r="I6" i="2"/>
  <c r="I7" i="2"/>
  <c r="I8" i="2"/>
  <c r="I9" i="2"/>
  <c r="I10" i="2"/>
  <c r="I11" i="2"/>
  <c r="I12" i="2"/>
  <c r="P3" i="2"/>
  <c r="Q3" i="2"/>
  <c r="P4" i="2"/>
  <c r="Q4" i="2"/>
  <c r="P5" i="2"/>
  <c r="Q5" i="2"/>
  <c r="P6" i="2"/>
  <c r="Q6" i="2"/>
  <c r="P7" i="2"/>
  <c r="Q7" i="2"/>
  <c r="P8" i="2"/>
  <c r="Q8" i="2"/>
  <c r="P9" i="2"/>
  <c r="Q9" i="2"/>
  <c r="P10" i="2"/>
  <c r="Q10" i="2"/>
  <c r="P11" i="2"/>
  <c r="Q11" i="2"/>
  <c r="P12" i="2"/>
  <c r="Q12" i="2"/>
  <c r="O4" i="2"/>
  <c r="O5" i="2"/>
  <c r="O6" i="2"/>
  <c r="O7" i="2"/>
  <c r="O8" i="2"/>
  <c r="O9" i="2"/>
  <c r="O10" i="2"/>
  <c r="O11" i="2"/>
  <c r="O12" i="2"/>
  <c r="O3" i="2"/>
  <c r="I3" i="2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C4" i="2"/>
  <c r="C5" i="2"/>
  <c r="C6" i="2"/>
  <c r="C7" i="2"/>
  <c r="C8" i="2"/>
  <c r="C9" i="2"/>
  <c r="C10" i="2"/>
  <c r="C11" i="2"/>
  <c r="C12" i="2"/>
  <c r="E3" i="1" a="1"/>
  <c r="E3" i="1"/>
  <c r="E8" i="1" a="1"/>
  <c r="E4" i="1" a="1"/>
  <c r="E9" i="1" a="1"/>
  <c r="E7" i="1" a="1"/>
  <c r="E5" i="1" a="1"/>
  <c r="E10" i="1" a="1"/>
  <c r="E6" i="1" a="1"/>
  <c r="E11" i="1" a="1"/>
  <c r="G3" i="2" a="1"/>
  <c r="R9" i="2" l="1"/>
  <c r="R8" i="2"/>
  <c r="R3" i="2"/>
  <c r="R5" i="2"/>
  <c r="R4" i="2"/>
  <c r="R7" i="2"/>
  <c r="R6" i="2"/>
  <c r="L8" i="2"/>
  <c r="L9" i="2"/>
  <c r="L4" i="2"/>
  <c r="L5" i="2"/>
  <c r="L12" i="2"/>
  <c r="R12" i="2"/>
  <c r="L7" i="2"/>
  <c r="L10" i="2"/>
  <c r="L6" i="2"/>
  <c r="L3" i="2"/>
  <c r="L11" i="2"/>
  <c r="R11" i="2"/>
  <c r="R10" i="2"/>
  <c r="F9" i="2"/>
  <c r="F4" i="2"/>
  <c r="F7" i="2"/>
  <c r="F8" i="2"/>
  <c r="F6" i="2"/>
  <c r="F12" i="2"/>
  <c r="F11" i="2"/>
  <c r="F10" i="2"/>
  <c r="F3" i="2"/>
  <c r="F5" i="2"/>
  <c r="G3" i="2"/>
  <c r="E6" i="1"/>
  <c r="E10" i="1"/>
  <c r="E5" i="1"/>
  <c r="E7" i="1"/>
  <c r="E9" i="1"/>
  <c r="E4" i="1"/>
  <c r="E8" i="1"/>
  <c r="E11" i="1"/>
  <c r="P11" i="1"/>
  <c r="P10" i="1"/>
  <c r="P9" i="1"/>
  <c r="P8" i="1"/>
  <c r="P7" i="1"/>
  <c r="P6" i="1"/>
  <c r="P5" i="1"/>
  <c r="P4" i="1"/>
  <c r="P3" i="1"/>
  <c r="J4" i="1"/>
  <c r="J5" i="1"/>
  <c r="J6" i="1"/>
  <c r="J7" i="1"/>
  <c r="J8" i="1"/>
  <c r="J9" i="1"/>
  <c r="J10" i="1"/>
  <c r="J11" i="1"/>
  <c r="D4" i="1"/>
  <c r="D5" i="1"/>
  <c r="D6" i="1"/>
  <c r="D7" i="1"/>
  <c r="D8" i="1"/>
  <c r="D9" i="1"/>
  <c r="D10" i="1"/>
  <c r="D11" i="1"/>
  <c r="D3" i="1"/>
  <c r="J3" i="1"/>
  <c r="Q7" i="1" a="1"/>
  <c r="K9" i="1" a="1"/>
  <c r="Q11" i="1" a="1"/>
  <c r="K10" i="1" a="1"/>
  <c r="Q5" i="1" a="1"/>
  <c r="Q6" i="1" a="1"/>
  <c r="K7" i="1" a="1"/>
  <c r="Q3" i="1" a="1"/>
  <c r="K8" i="1" a="1"/>
  <c r="Q10" i="1" a="1"/>
  <c r="K6" i="1" a="1"/>
  <c r="Q4" i="1" a="1"/>
  <c r="K11" i="1" a="1"/>
  <c r="K5" i="1" a="1"/>
  <c r="Q8" i="1" a="1"/>
  <c r="K4" i="1" a="1"/>
  <c r="K3" i="1" a="1"/>
  <c r="Q9" i="1" a="1"/>
  <c r="S8" i="2" a="1"/>
  <c r="S6" i="2" a="1"/>
  <c r="M10" i="2" a="1"/>
  <c r="M11" i="2" a="1"/>
  <c r="M12" i="2" a="1"/>
  <c r="M7" i="2" a="1"/>
  <c r="M3" i="2" a="1"/>
  <c r="S5" i="2" a="1"/>
  <c r="M8" i="2" a="1"/>
  <c r="M5" i="2" a="1"/>
  <c r="S12" i="2" a="1"/>
  <c r="S4" i="2" a="1"/>
  <c r="S11" i="2" a="1"/>
  <c r="S3" i="2" a="1"/>
  <c r="S9" i="2" a="1"/>
  <c r="M6" i="2" a="1"/>
  <c r="M9" i="2" a="1"/>
  <c r="S10" i="2" a="1"/>
  <c r="S7" i="2" a="1"/>
  <c r="M4" i="2" a="1"/>
  <c r="G6" i="2" a="1"/>
  <c r="G8" i="2" a="1"/>
  <c r="G12" i="2" a="1"/>
  <c r="G9" i="2" a="1"/>
  <c r="G10" i="2" a="1"/>
  <c r="G11" i="2" a="1"/>
  <c r="G5" i="2" a="1"/>
  <c r="G7" i="2" a="1"/>
  <c r="G4" i="2" a="1"/>
  <c r="S12" i="2" l="1"/>
  <c r="M12" i="2"/>
  <c r="G12" i="2"/>
  <c r="G11" i="2"/>
  <c r="G4" i="2"/>
  <c r="S6" i="2"/>
  <c r="M9" i="2"/>
  <c r="M8" i="2"/>
  <c r="G5" i="2"/>
  <c r="S7" i="2"/>
  <c r="M10" i="2"/>
  <c r="M3" i="2"/>
  <c r="G6" i="2"/>
  <c r="S8" i="2"/>
  <c r="M11" i="2"/>
  <c r="M4" i="2"/>
  <c r="G7" i="2"/>
  <c r="S9" i="2"/>
  <c r="M5" i="2"/>
  <c r="G8" i="2"/>
  <c r="S10" i="2"/>
  <c r="S5" i="2"/>
  <c r="S3" i="2"/>
  <c r="M6" i="2"/>
  <c r="G9" i="2"/>
  <c r="S11" i="2"/>
  <c r="S4" i="2"/>
  <c r="M7" i="2"/>
  <c r="G10" i="2"/>
  <c r="Q10" i="1"/>
  <c r="Q6" i="1"/>
  <c r="Q11" i="1"/>
  <c r="Q5" i="1"/>
  <c r="Q7" i="1"/>
  <c r="Q9" i="1"/>
  <c r="Q8" i="1"/>
  <c r="Q4" i="1"/>
  <c r="Q3" i="1"/>
  <c r="K11" i="1"/>
  <c r="K6" i="1"/>
  <c r="K7" i="1"/>
  <c r="K10" i="1"/>
  <c r="K5" i="1"/>
  <c r="K9" i="1"/>
  <c r="K8" i="1"/>
  <c r="K4" i="1"/>
  <c r="K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<sst xmlns="http://schemas.openxmlformats.org/spreadsheetml/2006/main" count="33" uniqueCount="10">
  <si>
    <t>Greens</t>
  </si>
  <si>
    <t>r</t>
  </si>
  <si>
    <t>g</t>
  </si>
  <si>
    <t>b</t>
  </si>
  <si>
    <t>Blues</t>
  </si>
  <si>
    <t>Reds</t>
  </si>
  <si>
    <t>rgb</t>
  </si>
  <si>
    <t>MAX</t>
  </si>
  <si>
    <t>MIN</t>
  </si>
  <si>
    <t>PARAM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</si>
</sst>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5F0"/>
        <bgColor indexed="64"/>
      </patternFill>
    </fill>
    <fill>
      <patternFill patternType="solid">
        <fgColor rgb="FFFEE0D2"/>
        <bgColor indexed="64"/>
      </patternFill>
    </fill>
    <fill>
      <patternFill patternType="solid">
        <fgColor rgb="FFEF3B2C"/>
        <bgColor indexed="64"/>
      </patternFill>
    </fill>
    <fill>
      <patternFill patternType="solid">
        <fgColor rgb="FFCB181D"/>
        <bgColor indexed="64"/>
      </patternFill>
    </fill>
    <fill>
      <patternFill patternType="solid">
        <fgColor rgb="FF67000D"/>
        <bgColor indexed="64"/>
      </patternFill>
    </fill>
    <fill>
      <patternFill patternType="solid">
        <fgColor rgb="FFFCBBA1"/>
        <bgColor indexed="64"/>
      </patternFill>
    </fill>
    <fill>
      <patternFill patternType="solid">
        <fgColor rgb="FFFC9272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F7FCF5"/>
        <bgColor indexed="64"/>
      </patternFill>
    </fill>
    <fill>
      <patternFill patternType="solid">
        <fgColor rgb="FFE5F5E0"/>
        <bgColor indexed="64"/>
      </patternFill>
    </fill>
    <fill>
      <patternFill patternType="solid">
        <fgColor rgb="FF41AB5D"/>
        <bgColor indexed="64"/>
      </patternFill>
    </fill>
    <fill>
      <patternFill patternType="solid">
        <fgColor rgb="FF238B45"/>
        <bgColor indexed="64"/>
      </patternFill>
    </fill>
    <fill>
      <patternFill patternType="solid">
        <fgColor rgb="FFC7E9C0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A1D99B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4292C6"/>
        <bgColor indexed="64"/>
      </patternFill>
    </fill>
    <fill>
      <patternFill patternType="solid">
        <fgColor rgb="FF2171B5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C6DBEF"/>
        <bgColor indexed="64"/>
      </patternFill>
    </fill>
    <fill>
      <patternFill patternType="solid">
        <fgColor rgb="FF08306B"/>
        <bgColor indexed="64"/>
      </patternFill>
    </fill>
    <fill>
      <patternFill patternType="solid">
        <fgColor rgb="FF9ECAE1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E1E1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DC4B4B"/>
        <bgColor indexed="64"/>
      </patternFill>
    </fill>
    <fill>
      <patternFill patternType="solid">
        <fgColor rgb="FFB43232"/>
        <bgColor indexed="64"/>
      </patternFill>
    </fill>
    <fill>
      <patternFill patternType="solid">
        <fgColor rgb="FF8C191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003264"/>
        <bgColor indexed="64"/>
      </patternFill>
    </fill>
    <fill>
      <patternFill patternType="solid">
        <fgColor rgb="FF2E5A96"/>
        <bgColor indexed="64"/>
      </patternFill>
    </fill>
    <fill>
      <patternFill patternType="solid">
        <fgColor rgb="FF5C82C8"/>
        <bgColor indexed="64"/>
      </patternFill>
    </fill>
    <fill>
      <patternFill patternType="solid">
        <fgColor rgb="FF8AAAFA"/>
        <bgColor indexed="64"/>
      </patternFill>
    </fill>
    <fill>
      <patternFill patternType="solid">
        <fgColor rgb="FFA1BEFF"/>
        <bgColor indexed="64"/>
      </patternFill>
    </fill>
    <fill>
      <patternFill patternType="solid">
        <fgColor rgb="FFB8D2FF"/>
        <bgColor indexed="64"/>
      </patternFill>
    </fill>
    <fill>
      <patternFill patternType="solid">
        <fgColor rgb="FF17467D"/>
        <bgColor indexed="64"/>
      </patternFill>
    </fill>
    <fill>
      <patternFill patternType="solid">
        <fgColor rgb="FFCFE6FF"/>
        <bgColor indexed="64"/>
      </patternFill>
    </fill>
    <fill>
      <patternFill patternType="solid">
        <fgColor rgb="FF456EAF"/>
        <bgColor indexed="64"/>
      </patternFill>
    </fill>
    <fill>
      <patternFill patternType="solid">
        <fgColor rgb="FF7396E1"/>
        <bgColor indexed="64"/>
      </patternFill>
    </fill>
    <fill>
      <patternFill patternType="solid">
        <fgColor rgb="FFE1FFE3"/>
        <bgColor indexed="64"/>
      </patternFill>
    </fill>
    <fill>
      <patternFill patternType="solid">
        <fgColor rgb="FFAFFFB5"/>
        <bgColor indexed="64"/>
      </patternFill>
    </fill>
    <fill>
      <patternFill patternType="solid">
        <fgColor rgb="FFC8FFCC"/>
        <bgColor indexed="64"/>
      </patternFill>
    </fill>
    <fill>
      <patternFill patternType="solid">
        <fgColor rgb="FF327E42"/>
        <bgColor indexed="64"/>
      </patternFill>
    </fill>
    <fill>
      <patternFill patternType="solid">
        <fgColor rgb="FF19622B"/>
        <bgColor indexed="64"/>
      </patternFill>
    </fill>
    <fill>
      <patternFill patternType="solid">
        <fgColor rgb="FF004614"/>
        <bgColor indexed="64"/>
      </patternFill>
    </fill>
    <fill>
      <patternFill patternType="solid">
        <fgColor rgb="FF7DD287"/>
        <bgColor indexed="64"/>
      </patternFill>
    </fill>
    <fill>
      <patternFill patternType="solid">
        <fgColor rgb="FF64B670"/>
        <bgColor indexed="64"/>
      </patternFill>
    </fill>
    <fill>
      <patternFill patternType="solid">
        <fgColor rgb="FF96EE9E"/>
        <bgColor indexed="64"/>
      </patternFill>
    </fill>
    <fill>
      <patternFill patternType="solid">
        <fgColor rgb="FF4B9A5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31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3" fillId="34" borderId="0" xfId="0" applyNumberFormat="1" applyFont="1" applyFill="1" applyAlignment="1">
      <alignment horizontal="center" vertical="center"/>
    </xf>
    <xf numFmtId="0" fontId="3" fillId="34" borderId="0" xfId="0" applyFont="1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40" borderId="0" xfId="0" applyFill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0" fillId="43" borderId="0" xfId="0" applyFill="1" applyAlignment="1">
      <alignment horizontal="center" vertical="center"/>
    </xf>
    <xf numFmtId="0" fontId="0" fillId="44" borderId="0" xfId="0" applyFill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46" borderId="0" xfId="0" applyFill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0" fontId="0" fillId="50" borderId="0" xfId="0" applyFill="1" applyAlignment="1">
      <alignment horizontal="center" vertical="center"/>
    </xf>
    <xf numFmtId="0" fontId="0" fillId="51" borderId="0" xfId="0" applyFill="1" applyAlignment="1">
      <alignment horizontal="center" vertical="center"/>
    </xf>
    <xf numFmtId="0" fontId="0" fillId="52" borderId="0" xfId="0" applyFill="1" applyAlignment="1">
      <alignment horizontal="center" vertical="center"/>
    </xf>
    <xf numFmtId="0" fontId="0" fillId="53" borderId="0" xfId="0" applyFill="1" applyAlignment="1">
      <alignment horizontal="center" vertical="center"/>
    </xf>
    <xf numFmtId="0" fontId="0" fillId="54" borderId="0" xfId="0" applyFill="1" applyAlignment="1">
      <alignment horizontal="center" vertical="center"/>
    </xf>
    <xf numFmtId="0" fontId="0" fillId="55" borderId="0" xfId="0" applyFill="1" applyAlignment="1">
      <alignment horizontal="center" vertical="center"/>
    </xf>
    <xf numFmtId="0" fontId="0" fillId="56" borderId="0" xfId="0" applyFill="1" applyAlignment="1">
      <alignment horizontal="center" vertical="center"/>
    </xf>
    <xf numFmtId="0" fontId="0" fillId="57" borderId="0" xfId="0" applyFill="1" applyAlignment="1">
      <alignment horizontal="center" vertical="center"/>
    </xf>
    <xf numFmtId="0" fontId="0" fillId="58" borderId="0" xfId="0" applyFill="1" applyAlignment="1">
      <alignment horizontal="center" vertical="center"/>
    </xf>
    <xf numFmtId="0" fontId="0" fillId="59" borderId="0" xfId="0" applyFill="1" applyAlignment="1">
      <alignment horizontal="center" vertical="center"/>
    </xf>
    <xf numFmtId="0" fontId="0" fillId="60" borderId="0" xfId="0" applyFill="1" applyAlignment="1">
      <alignment horizontal="center" vertical="center"/>
    </xf>
    <xf numFmtId="0" fontId="0" fillId="61" borderId="0" xfId="0" applyFill="1" applyAlignment="1">
      <alignment horizontal="center" vertical="center"/>
    </xf>
    <xf numFmtId="0" fontId="0" fillId="62" borderId="0" xfId="0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rgbClr val="FF0000"/>
                </a:solidFill>
              </a:rPr>
              <a:t>Reds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'colorbrewer2.org '!$A$2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'colorbrewer2.org '!$A$3:$A$11</c:f>
              <c:numCache>
                <c:formatCode>#,##0</c:formatCode>
                <c:ptCount val="9"/>
                <c:pt idx="0">
                  <c:v>255</c:v>
                </c:pt>
                <c:pt idx="1">
                  <c:v>254</c:v>
                </c:pt>
                <c:pt idx="2">
                  <c:v>252</c:v>
                </c:pt>
                <c:pt idx="3">
                  <c:v>252</c:v>
                </c:pt>
                <c:pt idx="4">
                  <c:v>251</c:v>
                </c:pt>
                <c:pt idx="5" formatCode="General">
                  <c:v>239</c:v>
                </c:pt>
                <c:pt idx="6" formatCode="General">
                  <c:v>203</c:v>
                </c:pt>
                <c:pt idx="7" formatCode="General">
                  <c:v>165</c:v>
                </c:pt>
                <c:pt idx="8" formatCode="General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9-4258-B00C-904DFBD0A33F}"/>
            </c:ext>
          </c:extLst>
        </c:ser>
        <c:ser>
          <c:idx val="1"/>
          <c:order val="1"/>
          <c:tx>
            <c:strRef>
              <c:f>'colorbrewer2.org '!$B$2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val>
            <c:numRef>
              <c:f>'colorbrewer2.org '!$B$3:$B$11</c:f>
              <c:numCache>
                <c:formatCode>#,##0</c:formatCode>
                <c:ptCount val="9"/>
                <c:pt idx="0">
                  <c:v>245</c:v>
                </c:pt>
                <c:pt idx="1">
                  <c:v>224</c:v>
                </c:pt>
                <c:pt idx="2">
                  <c:v>187</c:v>
                </c:pt>
                <c:pt idx="3">
                  <c:v>146</c:v>
                </c:pt>
                <c:pt idx="4">
                  <c:v>106</c:v>
                </c:pt>
                <c:pt idx="5" formatCode="General">
                  <c:v>59</c:v>
                </c:pt>
                <c:pt idx="6" formatCode="General">
                  <c:v>24</c:v>
                </c:pt>
                <c:pt idx="7" formatCode="General">
                  <c:v>15</c:v>
                </c:pt>
                <c:pt idx="8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9-4258-B00C-904DFBD0A33F}"/>
            </c:ext>
          </c:extLst>
        </c:ser>
        <c:ser>
          <c:idx val="2"/>
          <c:order val="2"/>
          <c:tx>
            <c:strRef>
              <c:f>'colorbrewer2.org '!$C$2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val>
            <c:numRef>
              <c:f>'colorbrewer2.org '!$C$3:$C$11</c:f>
              <c:numCache>
                <c:formatCode>#,##0</c:formatCode>
                <c:ptCount val="9"/>
                <c:pt idx="0">
                  <c:v>240</c:v>
                </c:pt>
                <c:pt idx="1">
                  <c:v>210</c:v>
                </c:pt>
                <c:pt idx="2">
                  <c:v>161</c:v>
                </c:pt>
                <c:pt idx="3">
                  <c:v>114</c:v>
                </c:pt>
                <c:pt idx="4">
                  <c:v>74</c:v>
                </c:pt>
                <c:pt idx="5" formatCode="General">
                  <c:v>44</c:v>
                </c:pt>
                <c:pt idx="6" formatCode="General">
                  <c:v>29</c:v>
                </c:pt>
                <c:pt idx="7" formatCode="General">
                  <c:v>21</c:v>
                </c:pt>
                <c:pt idx="8" formatCode="General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49-4258-B00C-904DFBD0A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487168"/>
        <c:axId val="608486840"/>
      </c:lineChart>
      <c:catAx>
        <c:axId val="608487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6840"/>
        <c:crosses val="autoZero"/>
        <c:auto val="1"/>
        <c:lblAlgn val="ctr"/>
        <c:lblOffset val="100"/>
        <c:noMultiLvlLbl val="0"/>
      </c:catAx>
      <c:valAx>
        <c:axId val="608486840"/>
        <c:scaling>
          <c:orientation val="minMax"/>
          <c:max val="25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rgbClr val="00B050"/>
                </a:solidFill>
              </a:rPr>
              <a:t>Greens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'colorbrewer2.org '!$G$2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'colorbrewer2.org '!$G$3:$G$11</c:f>
              <c:numCache>
                <c:formatCode>#,##0</c:formatCode>
                <c:ptCount val="9"/>
                <c:pt idx="0">
                  <c:v>247</c:v>
                </c:pt>
                <c:pt idx="1">
                  <c:v>229</c:v>
                </c:pt>
                <c:pt idx="2">
                  <c:v>199</c:v>
                </c:pt>
                <c:pt idx="3">
                  <c:v>161</c:v>
                </c:pt>
                <c:pt idx="4">
                  <c:v>116</c:v>
                </c:pt>
                <c:pt idx="5" formatCode="General">
                  <c:v>65</c:v>
                </c:pt>
                <c:pt idx="6" formatCode="General">
                  <c:v>35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0-491B-96F1-9E8C872F07EB}"/>
            </c:ext>
          </c:extLst>
        </c:ser>
        <c:ser>
          <c:idx val="1"/>
          <c:order val="1"/>
          <c:tx>
            <c:strRef>
              <c:f>'colorbrewer2.org '!$H$2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val>
            <c:numRef>
              <c:f>'colorbrewer2.org '!$H$3:$H$11</c:f>
              <c:numCache>
                <c:formatCode>#,##0</c:formatCode>
                <c:ptCount val="9"/>
                <c:pt idx="0">
                  <c:v>252</c:v>
                </c:pt>
                <c:pt idx="1">
                  <c:v>245</c:v>
                </c:pt>
                <c:pt idx="2">
                  <c:v>233</c:v>
                </c:pt>
                <c:pt idx="3">
                  <c:v>217</c:v>
                </c:pt>
                <c:pt idx="4">
                  <c:v>196</c:v>
                </c:pt>
                <c:pt idx="5" formatCode="General">
                  <c:v>171</c:v>
                </c:pt>
                <c:pt idx="6" formatCode="General">
                  <c:v>139</c:v>
                </c:pt>
                <c:pt idx="7" formatCode="General">
                  <c:v>109</c:v>
                </c:pt>
                <c:pt idx="8" formatCode="General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50-491B-96F1-9E8C872F07EB}"/>
            </c:ext>
          </c:extLst>
        </c:ser>
        <c:ser>
          <c:idx val="2"/>
          <c:order val="2"/>
          <c:tx>
            <c:strRef>
              <c:f>'colorbrewer2.org '!$I$2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val>
            <c:numRef>
              <c:f>'colorbrewer2.org '!$I$3:$I$11</c:f>
              <c:numCache>
                <c:formatCode>#,##0</c:formatCode>
                <c:ptCount val="9"/>
                <c:pt idx="0">
                  <c:v>245</c:v>
                </c:pt>
                <c:pt idx="1">
                  <c:v>224</c:v>
                </c:pt>
                <c:pt idx="2">
                  <c:v>192</c:v>
                </c:pt>
                <c:pt idx="3">
                  <c:v>155</c:v>
                </c:pt>
                <c:pt idx="4">
                  <c:v>118</c:v>
                </c:pt>
                <c:pt idx="5" formatCode="General">
                  <c:v>93</c:v>
                </c:pt>
                <c:pt idx="6" formatCode="General">
                  <c:v>69</c:v>
                </c:pt>
                <c:pt idx="7" formatCode="General">
                  <c:v>44</c:v>
                </c:pt>
                <c:pt idx="8" formatCode="General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50-491B-96F1-9E8C872F0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487168"/>
        <c:axId val="608486840"/>
      </c:lineChart>
      <c:catAx>
        <c:axId val="608487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6840"/>
        <c:crosses val="autoZero"/>
        <c:auto val="1"/>
        <c:lblAlgn val="ctr"/>
        <c:lblOffset val="100"/>
        <c:noMultiLvlLbl val="0"/>
      </c:catAx>
      <c:valAx>
        <c:axId val="608486840"/>
        <c:scaling>
          <c:orientation val="minMax"/>
          <c:max val="25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rgbClr val="0070C0"/>
                </a:solidFill>
              </a:rPr>
              <a:t>Blues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'colorbrewer2.org '!$M$2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'colorbrewer2.org '!$M$3:$M$11</c:f>
              <c:numCache>
                <c:formatCode>#,##0</c:formatCode>
                <c:ptCount val="9"/>
                <c:pt idx="0">
                  <c:v>247</c:v>
                </c:pt>
                <c:pt idx="1">
                  <c:v>222</c:v>
                </c:pt>
                <c:pt idx="2">
                  <c:v>198</c:v>
                </c:pt>
                <c:pt idx="3">
                  <c:v>158</c:v>
                </c:pt>
                <c:pt idx="4">
                  <c:v>107</c:v>
                </c:pt>
                <c:pt idx="5">
                  <c:v>66</c:v>
                </c:pt>
                <c:pt idx="6">
                  <c:v>33</c:v>
                </c:pt>
                <c:pt idx="7" formatCode="General">
                  <c:v>8</c:v>
                </c:pt>
                <c:pt idx="8" formatCode="General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73-43D0-B3AB-7E93D972D5F1}"/>
            </c:ext>
          </c:extLst>
        </c:ser>
        <c:ser>
          <c:idx val="1"/>
          <c:order val="1"/>
          <c:tx>
            <c:strRef>
              <c:f>'colorbrewer2.org '!$N$2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val>
            <c:numRef>
              <c:f>'colorbrewer2.org '!$N$3:$N$11</c:f>
              <c:numCache>
                <c:formatCode>#,##0</c:formatCode>
                <c:ptCount val="9"/>
                <c:pt idx="0">
                  <c:v>251</c:v>
                </c:pt>
                <c:pt idx="1">
                  <c:v>235</c:v>
                </c:pt>
                <c:pt idx="2">
                  <c:v>219</c:v>
                </c:pt>
                <c:pt idx="3">
                  <c:v>202</c:v>
                </c:pt>
                <c:pt idx="4">
                  <c:v>174</c:v>
                </c:pt>
                <c:pt idx="5">
                  <c:v>146</c:v>
                </c:pt>
                <c:pt idx="6">
                  <c:v>113</c:v>
                </c:pt>
                <c:pt idx="7">
                  <c:v>81</c:v>
                </c:pt>
                <c:pt idx="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73-43D0-B3AB-7E93D972D5F1}"/>
            </c:ext>
          </c:extLst>
        </c:ser>
        <c:ser>
          <c:idx val="2"/>
          <c:order val="2"/>
          <c:tx>
            <c:strRef>
              <c:f>'colorbrewer2.org '!$O$2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val>
            <c:numRef>
              <c:f>'colorbrewer2.org '!$O$3:$O$11</c:f>
              <c:numCache>
                <c:formatCode>#,##0</c:formatCode>
                <c:ptCount val="9"/>
                <c:pt idx="0">
                  <c:v>255</c:v>
                </c:pt>
                <c:pt idx="1">
                  <c:v>247</c:v>
                </c:pt>
                <c:pt idx="2">
                  <c:v>239</c:v>
                </c:pt>
                <c:pt idx="3">
                  <c:v>225</c:v>
                </c:pt>
                <c:pt idx="4">
                  <c:v>214</c:v>
                </c:pt>
                <c:pt idx="5">
                  <c:v>198</c:v>
                </c:pt>
                <c:pt idx="6">
                  <c:v>181</c:v>
                </c:pt>
                <c:pt idx="7" formatCode="General">
                  <c:v>156</c:v>
                </c:pt>
                <c:pt idx="8" formatCode="General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73-43D0-B3AB-7E93D972D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487168"/>
        <c:axId val="608486840"/>
      </c:lineChart>
      <c:catAx>
        <c:axId val="608487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6840"/>
        <c:crosses val="autoZero"/>
        <c:auto val="1"/>
        <c:lblAlgn val="ctr"/>
        <c:lblOffset val="100"/>
        <c:noMultiLvlLbl val="0"/>
      </c:catAx>
      <c:valAx>
        <c:axId val="608486840"/>
        <c:scaling>
          <c:orientation val="minMax"/>
          <c:max val="25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rgbClr val="FF0000"/>
                </a:solidFill>
              </a:rPr>
              <a:t>Reds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customs!$C$2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customs!$C$3:$C$12</c:f>
              <c:numCache>
                <c:formatCode>#,##0</c:formatCode>
                <c:ptCount val="1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220</c:v>
                </c:pt>
                <c:pt idx="7">
                  <c:v>180</c:v>
                </c:pt>
                <c:pt idx="8">
                  <c:v>140</c:v>
                </c:pt>
                <c:pt idx="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5F-4D7D-BD60-8EB75DEDE6B5}"/>
            </c:ext>
          </c:extLst>
        </c:ser>
        <c:ser>
          <c:idx val="1"/>
          <c:order val="1"/>
          <c:tx>
            <c:strRef>
              <c:f>customs!$D$2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val>
            <c:numRef>
              <c:f>customs!$D$3:$D$12</c:f>
              <c:numCache>
                <c:formatCode>#,##0</c:formatCode>
                <c:ptCount val="10"/>
                <c:pt idx="0">
                  <c:v>225</c:v>
                </c:pt>
                <c:pt idx="1">
                  <c:v>200</c:v>
                </c:pt>
                <c:pt idx="2">
                  <c:v>175</c:v>
                </c:pt>
                <c:pt idx="3">
                  <c:v>150</c:v>
                </c:pt>
                <c:pt idx="4">
                  <c:v>125</c:v>
                </c:pt>
                <c:pt idx="5">
                  <c:v>100</c:v>
                </c:pt>
                <c:pt idx="6">
                  <c:v>75</c:v>
                </c:pt>
                <c:pt idx="7">
                  <c:v>50</c:v>
                </c:pt>
                <c:pt idx="8">
                  <c:v>25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5F-4D7D-BD60-8EB75DEDE6B5}"/>
            </c:ext>
          </c:extLst>
        </c:ser>
        <c:ser>
          <c:idx val="2"/>
          <c:order val="2"/>
          <c:tx>
            <c:strRef>
              <c:f>customs!$E$2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val>
            <c:numRef>
              <c:f>customs!$E$3:$E$12</c:f>
              <c:numCache>
                <c:formatCode>#,##0</c:formatCode>
                <c:ptCount val="10"/>
                <c:pt idx="0">
                  <c:v>225</c:v>
                </c:pt>
                <c:pt idx="1">
                  <c:v>200</c:v>
                </c:pt>
                <c:pt idx="2">
                  <c:v>175</c:v>
                </c:pt>
                <c:pt idx="3">
                  <c:v>150</c:v>
                </c:pt>
                <c:pt idx="4">
                  <c:v>125</c:v>
                </c:pt>
                <c:pt idx="5">
                  <c:v>100</c:v>
                </c:pt>
                <c:pt idx="6">
                  <c:v>75</c:v>
                </c:pt>
                <c:pt idx="7">
                  <c:v>50</c:v>
                </c:pt>
                <c:pt idx="8">
                  <c:v>25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5F-4D7D-BD60-8EB75DEDE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487168"/>
        <c:axId val="608486840"/>
      </c:lineChart>
      <c:catAx>
        <c:axId val="608487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6840"/>
        <c:crosses val="autoZero"/>
        <c:auto val="1"/>
        <c:lblAlgn val="ctr"/>
        <c:lblOffset val="100"/>
        <c:noMultiLvlLbl val="0"/>
      </c:catAx>
      <c:valAx>
        <c:axId val="608486840"/>
        <c:scaling>
          <c:orientation val="minMax"/>
          <c:max val="25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rgbClr val="00B050"/>
                </a:solidFill>
              </a:rPr>
              <a:t>Greens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customs!$I$2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customs!$I$3:$I$12</c:f>
              <c:numCache>
                <c:formatCode>#,##0</c:formatCode>
                <c:ptCount val="10"/>
                <c:pt idx="0">
                  <c:v>225</c:v>
                </c:pt>
                <c:pt idx="1">
                  <c:v>200</c:v>
                </c:pt>
                <c:pt idx="2">
                  <c:v>175</c:v>
                </c:pt>
                <c:pt idx="3">
                  <c:v>150</c:v>
                </c:pt>
                <c:pt idx="4">
                  <c:v>125</c:v>
                </c:pt>
                <c:pt idx="5">
                  <c:v>100</c:v>
                </c:pt>
                <c:pt idx="6">
                  <c:v>75</c:v>
                </c:pt>
                <c:pt idx="7">
                  <c:v>50</c:v>
                </c:pt>
                <c:pt idx="8">
                  <c:v>25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6-408E-9748-144EEEC4F2A2}"/>
            </c:ext>
          </c:extLst>
        </c:ser>
        <c:ser>
          <c:idx val="1"/>
          <c:order val="1"/>
          <c:tx>
            <c:strRef>
              <c:f>customs!$J$2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val>
            <c:numRef>
              <c:f>customs!$J$3:$J$12</c:f>
              <c:numCache>
                <c:formatCode>#,##0</c:formatCode>
                <c:ptCount val="1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238</c:v>
                </c:pt>
                <c:pt idx="4">
                  <c:v>210</c:v>
                </c:pt>
                <c:pt idx="5">
                  <c:v>182</c:v>
                </c:pt>
                <c:pt idx="6">
                  <c:v>154</c:v>
                </c:pt>
                <c:pt idx="7">
                  <c:v>126</c:v>
                </c:pt>
                <c:pt idx="8">
                  <c:v>98</c:v>
                </c:pt>
                <c:pt idx="9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B6-408E-9748-144EEEC4F2A2}"/>
            </c:ext>
          </c:extLst>
        </c:ser>
        <c:ser>
          <c:idx val="2"/>
          <c:order val="2"/>
          <c:tx>
            <c:strRef>
              <c:f>customs!$K$2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val>
            <c:numRef>
              <c:f>customs!$K$3:$K$12</c:f>
              <c:numCache>
                <c:formatCode>#,##0</c:formatCode>
                <c:ptCount val="10"/>
                <c:pt idx="0">
                  <c:v>227</c:v>
                </c:pt>
                <c:pt idx="1">
                  <c:v>204</c:v>
                </c:pt>
                <c:pt idx="2">
                  <c:v>181</c:v>
                </c:pt>
                <c:pt idx="3">
                  <c:v>158</c:v>
                </c:pt>
                <c:pt idx="4">
                  <c:v>135</c:v>
                </c:pt>
                <c:pt idx="5">
                  <c:v>112</c:v>
                </c:pt>
                <c:pt idx="6">
                  <c:v>89</c:v>
                </c:pt>
                <c:pt idx="7">
                  <c:v>66</c:v>
                </c:pt>
                <c:pt idx="8">
                  <c:v>43</c:v>
                </c:pt>
                <c:pt idx="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B6-408E-9748-144EEEC4F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487168"/>
        <c:axId val="608486840"/>
      </c:lineChart>
      <c:catAx>
        <c:axId val="608487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6840"/>
        <c:crosses val="autoZero"/>
        <c:auto val="1"/>
        <c:lblAlgn val="ctr"/>
        <c:lblOffset val="100"/>
        <c:noMultiLvlLbl val="0"/>
      </c:catAx>
      <c:valAx>
        <c:axId val="608486840"/>
        <c:scaling>
          <c:orientation val="minMax"/>
          <c:max val="25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rgbClr val="0070C0"/>
                </a:solidFill>
              </a:rPr>
              <a:t>Blues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customs!$O$2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customs!$O$3:$O$12</c:f>
              <c:numCache>
                <c:formatCode>#,##0</c:formatCode>
                <c:ptCount val="10"/>
                <c:pt idx="0">
                  <c:v>207</c:v>
                </c:pt>
                <c:pt idx="1">
                  <c:v>184</c:v>
                </c:pt>
                <c:pt idx="2">
                  <c:v>161</c:v>
                </c:pt>
                <c:pt idx="3">
                  <c:v>138</c:v>
                </c:pt>
                <c:pt idx="4">
                  <c:v>115</c:v>
                </c:pt>
                <c:pt idx="5">
                  <c:v>92</c:v>
                </c:pt>
                <c:pt idx="6">
                  <c:v>69</c:v>
                </c:pt>
                <c:pt idx="7">
                  <c:v>46</c:v>
                </c:pt>
                <c:pt idx="8">
                  <c:v>23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4-42B6-8726-720C6093E180}"/>
            </c:ext>
          </c:extLst>
        </c:ser>
        <c:ser>
          <c:idx val="1"/>
          <c:order val="1"/>
          <c:tx>
            <c:strRef>
              <c:f>customs!$P$2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val>
            <c:numRef>
              <c:f>customs!$P$3:$P$12</c:f>
              <c:numCache>
                <c:formatCode>#,##0</c:formatCode>
                <c:ptCount val="10"/>
                <c:pt idx="0">
                  <c:v>230</c:v>
                </c:pt>
                <c:pt idx="1">
                  <c:v>210</c:v>
                </c:pt>
                <c:pt idx="2">
                  <c:v>190</c:v>
                </c:pt>
                <c:pt idx="3">
                  <c:v>170</c:v>
                </c:pt>
                <c:pt idx="4">
                  <c:v>150</c:v>
                </c:pt>
                <c:pt idx="5">
                  <c:v>130</c:v>
                </c:pt>
                <c:pt idx="6">
                  <c:v>110</c:v>
                </c:pt>
                <c:pt idx="7">
                  <c:v>90</c:v>
                </c:pt>
                <c:pt idx="8">
                  <c:v>70</c:v>
                </c:pt>
                <c:pt idx="9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4-42B6-8726-720C6093E180}"/>
            </c:ext>
          </c:extLst>
        </c:ser>
        <c:ser>
          <c:idx val="2"/>
          <c:order val="2"/>
          <c:tx>
            <c:strRef>
              <c:f>customs!$Q$2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val>
            <c:numRef>
              <c:f>customs!$Q$3:$Q$12</c:f>
              <c:numCache>
                <c:formatCode>#,##0</c:formatCode>
                <c:ptCount val="1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250</c:v>
                </c:pt>
                <c:pt idx="4">
                  <c:v>225</c:v>
                </c:pt>
                <c:pt idx="5">
                  <c:v>200</c:v>
                </c:pt>
                <c:pt idx="6">
                  <c:v>175</c:v>
                </c:pt>
                <c:pt idx="7">
                  <c:v>150</c:v>
                </c:pt>
                <c:pt idx="8">
                  <c:v>125</c:v>
                </c:pt>
                <c:pt idx="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44-42B6-8726-720C6093E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487168"/>
        <c:axId val="608486840"/>
      </c:lineChart>
      <c:catAx>
        <c:axId val="608487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6840"/>
        <c:crosses val="autoZero"/>
        <c:auto val="1"/>
        <c:lblAlgn val="ctr"/>
        <c:lblOffset val="100"/>
        <c:noMultiLvlLbl val="0"/>
      </c:catAx>
      <c:valAx>
        <c:axId val="608486840"/>
        <c:scaling>
          <c:orientation val="minMax"/>
          <c:max val="25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48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5</xdr:col>
      <xdr:colOff>609600</xdr:colOff>
      <xdr:row>29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2030CB7-22A6-4FD4-880A-FF41A6675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14</xdr:row>
      <xdr:rowOff>0</xdr:rowOff>
    </xdr:from>
    <xdr:to>
      <xdr:col>11</xdr:col>
      <xdr:colOff>609600</xdr:colOff>
      <xdr:row>29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BCE9887-9DA3-4AF0-A0B8-9177C2B35A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17</xdr:col>
      <xdr:colOff>609600</xdr:colOff>
      <xdr:row>29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06F1411-7657-4A1A-B7E1-C446911CA2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0</xdr:rowOff>
    </xdr:from>
    <xdr:to>
      <xdr:col>6</xdr:col>
      <xdr:colOff>790080</xdr:colOff>
      <xdr:row>28</xdr:row>
      <xdr:rowOff>181440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A77C61C-BC35-4DE9-A630-04C451B918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12</xdr:col>
      <xdr:colOff>790080</xdr:colOff>
      <xdr:row>28</xdr:row>
      <xdr:rowOff>181440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B3F5119-F6A5-4CE1-9737-FE2659CCB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16</xdr:row>
      <xdr:rowOff>0</xdr:rowOff>
    </xdr:from>
    <xdr:to>
      <xdr:col>18</xdr:col>
      <xdr:colOff>790080</xdr:colOff>
      <xdr:row>28</xdr:row>
      <xdr:rowOff>181440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DF7BA41D-6DA9-470A-B114-3B7A52BC5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63762-F55E-4E97-9FEF-A83E193D8173}">
  <sheetPr codeName="Hoja1"/>
  <dimension ref="A1:Q13"/>
  <sheetViews>
    <sheetView workbookViewId="0">
      <selection activeCell="A12" sqref="A12"/>
    </sheetView>
  </sheetViews>
  <sheetFormatPr baseColWidth="10" defaultRowHeight="14.4" x14ac:dyDescent="0.3"/>
  <cols>
    <col min="1" max="15" width="11.5546875" style="2"/>
  </cols>
  <sheetData>
    <row r="1" spans="1:17" x14ac:dyDescent="0.3">
      <c r="A1" s="34" t="s">
        <v>5</v>
      </c>
      <c r="B1" s="34"/>
      <c r="C1" s="34"/>
      <c r="G1" s="35" t="s">
        <v>0</v>
      </c>
      <c r="H1" s="35"/>
      <c r="I1" s="35"/>
      <c r="M1" s="36" t="s">
        <v>4</v>
      </c>
      <c r="N1" s="36"/>
      <c r="O1" s="36"/>
    </row>
    <row r="2" spans="1:17" x14ac:dyDescent="0.3">
      <c r="A2" s="1" t="s">
        <v>1</v>
      </c>
      <c r="B2" s="3" t="s">
        <v>2</v>
      </c>
      <c r="C2" s="4" t="s">
        <v>3</v>
      </c>
      <c r="D2" s="2" t="s">
        <v>6</v>
      </c>
      <c r="G2" s="1" t="s">
        <v>1</v>
      </c>
      <c r="H2" s="3" t="s">
        <v>2</v>
      </c>
      <c r="I2" s="4" t="s">
        <v>3</v>
      </c>
      <c r="J2" s="2" t="s">
        <v>6</v>
      </c>
      <c r="M2" s="1" t="s">
        <v>1</v>
      </c>
      <c r="N2" s="3" t="s">
        <v>2</v>
      </c>
      <c r="O2" s="4" t="s">
        <v>3</v>
      </c>
      <c r="P2" t="s">
        <v>6</v>
      </c>
    </row>
    <row r="3" spans="1:17" x14ac:dyDescent="0.3">
      <c r="A3" s="5">
        <v>255</v>
      </c>
      <c r="B3" s="5">
        <v>245</v>
      </c>
      <c r="C3" s="5">
        <v>240</v>
      </c>
      <c r="D3" s="6" t="str">
        <f>"("&amp;A3&amp;", "&amp;B3&amp;", "&amp;C3&amp;")"</f>
        <v>(255, 245, 240)</v>
      </c>
      <c r="E3" s="25" cm="1">
        <f t="array" ref="E3">miRGB(A3, B3, C3)</f>
        <v>0</v>
      </c>
      <c r="G3" s="5">
        <v>247</v>
      </c>
      <c r="H3" s="5">
        <v>252</v>
      </c>
      <c r="I3" s="5">
        <v>245</v>
      </c>
      <c r="J3" s="6" t="str">
        <f>"("&amp;G3&amp;", "&amp;H3&amp;", "&amp;I3&amp;")"</f>
        <v>(247, 252, 245)</v>
      </c>
      <c r="K3" s="7" cm="1">
        <f t="array" ref="K3">miRGB(G3, H3, I3)</f>
        <v>0</v>
      </c>
      <c r="M3" s="5">
        <v>247</v>
      </c>
      <c r="N3" s="5">
        <v>251</v>
      </c>
      <c r="O3" s="5">
        <v>255</v>
      </c>
      <c r="P3" s="6" t="str">
        <f>"("&amp;M3&amp;", "&amp;N3&amp;", "&amp;O3&amp;")"</f>
        <v>(247, 251, 255)</v>
      </c>
      <c r="Q3" s="16" cm="1">
        <f t="array" ref="Q3">miRGB(M3, N3, O3)</f>
        <v>0</v>
      </c>
    </row>
    <row r="4" spans="1:17" x14ac:dyDescent="0.3">
      <c r="A4" s="5">
        <v>254</v>
      </c>
      <c r="B4" s="5">
        <v>224</v>
      </c>
      <c r="C4" s="5">
        <v>210</v>
      </c>
      <c r="D4" s="6" t="str">
        <f t="shared" ref="D4:D11" si="0">"("&amp;A4&amp;", "&amp;B4&amp;", "&amp;C4&amp;")"</f>
        <v>(254, 224, 210)</v>
      </c>
      <c r="E4" s="26" cm="1">
        <f t="array" ref="E4">miRGB(A4, B4, C4)</f>
        <v>0</v>
      </c>
      <c r="G4" s="5">
        <v>229</v>
      </c>
      <c r="H4" s="5">
        <v>245</v>
      </c>
      <c r="I4" s="5">
        <v>224</v>
      </c>
      <c r="J4" s="6" t="str">
        <f t="shared" ref="J4:J11" si="1">"("&amp;G4&amp;", "&amp;H4&amp;", "&amp;I4&amp;")"</f>
        <v>(229, 245, 224)</v>
      </c>
      <c r="K4" s="8" cm="1">
        <f t="array" ref="K4">miRGB(G4, H4, I4)</f>
        <v>0</v>
      </c>
      <c r="M4" s="5">
        <v>222</v>
      </c>
      <c r="N4" s="5">
        <v>235</v>
      </c>
      <c r="O4" s="5">
        <v>247</v>
      </c>
      <c r="P4" s="6" t="str">
        <f t="shared" ref="P4:P11" si="2">"("&amp;M4&amp;", "&amp;N4&amp;", "&amp;O4&amp;")"</f>
        <v>(222, 235, 247)</v>
      </c>
      <c r="Q4" s="17" cm="1">
        <f t="array" ref="Q4">miRGB(M4, N4, O4)</f>
        <v>0</v>
      </c>
    </row>
    <row r="5" spans="1:17" x14ac:dyDescent="0.3">
      <c r="A5" s="5">
        <v>252</v>
      </c>
      <c r="B5" s="5">
        <v>187</v>
      </c>
      <c r="C5" s="5">
        <v>161</v>
      </c>
      <c r="D5" s="6" t="str">
        <f t="shared" si="0"/>
        <v>(252, 187, 161)</v>
      </c>
      <c r="E5" s="27" cm="1">
        <f t="array" ref="E5">miRGB(A5, B5, C5)</f>
        <v>0</v>
      </c>
      <c r="G5" s="5">
        <v>199</v>
      </c>
      <c r="H5" s="5">
        <v>233</v>
      </c>
      <c r="I5" s="5">
        <v>192</v>
      </c>
      <c r="J5" s="6" t="str">
        <f t="shared" si="1"/>
        <v>(199, 233, 192)</v>
      </c>
      <c r="K5" s="11" cm="1">
        <f t="array" ref="K5">miRGB(G5, H5, I5)</f>
        <v>0</v>
      </c>
      <c r="M5" s="5">
        <v>198</v>
      </c>
      <c r="N5" s="5">
        <v>219</v>
      </c>
      <c r="O5" s="5">
        <v>239</v>
      </c>
      <c r="P5" s="6" t="str">
        <f t="shared" si="2"/>
        <v>(198, 219, 239)</v>
      </c>
      <c r="Q5" s="21" cm="1">
        <f t="array" ref="Q5">miRGB(M5, N5, O5)</f>
        <v>0</v>
      </c>
    </row>
    <row r="6" spans="1:17" x14ac:dyDescent="0.3">
      <c r="A6" s="5">
        <v>252</v>
      </c>
      <c r="B6" s="5">
        <v>146</v>
      </c>
      <c r="C6" s="5">
        <v>114</v>
      </c>
      <c r="D6" s="6" t="str">
        <f t="shared" si="0"/>
        <v>(252, 146, 114)</v>
      </c>
      <c r="E6" s="28" cm="1">
        <f t="array" ref="E6">miRGB(A6, B6, C6)</f>
        <v>0</v>
      </c>
      <c r="G6" s="5">
        <v>161</v>
      </c>
      <c r="H6" s="5">
        <v>217</v>
      </c>
      <c r="I6" s="5">
        <v>155</v>
      </c>
      <c r="J6" s="6" t="str">
        <f t="shared" si="1"/>
        <v>(161, 217, 155)</v>
      </c>
      <c r="K6" s="14" cm="1">
        <f t="array" ref="K6">miRGB(G6, H6, I6)</f>
        <v>0</v>
      </c>
      <c r="M6" s="5">
        <v>158</v>
      </c>
      <c r="N6" s="5">
        <v>202</v>
      </c>
      <c r="O6" s="5">
        <v>225</v>
      </c>
      <c r="P6" s="6" t="str">
        <f t="shared" si="2"/>
        <v>(158, 202, 225)</v>
      </c>
      <c r="Q6" s="23" cm="1">
        <f t="array" ref="Q6">miRGB(M6, N6, O6)</f>
        <v>0</v>
      </c>
    </row>
    <row r="7" spans="1:17" x14ac:dyDescent="0.3">
      <c r="A7" s="5">
        <v>251</v>
      </c>
      <c r="B7" s="5">
        <v>106</v>
      </c>
      <c r="C7" s="5">
        <v>74</v>
      </c>
      <c r="D7" s="6" t="str">
        <f t="shared" si="0"/>
        <v>(251, 106, 74)</v>
      </c>
      <c r="E7" s="29" cm="1">
        <f t="array" ref="E7">miRGB(A7, B7, C7)</f>
        <v>0</v>
      </c>
      <c r="G7" s="5">
        <v>116</v>
      </c>
      <c r="H7" s="5">
        <v>196</v>
      </c>
      <c r="I7" s="5">
        <v>118</v>
      </c>
      <c r="J7" s="6" t="str">
        <f t="shared" si="1"/>
        <v>(116, 196, 118)</v>
      </c>
      <c r="K7" s="13" cm="1">
        <f t="array" ref="K7">miRGB(G7, H7, I7)</f>
        <v>0</v>
      </c>
      <c r="M7" s="5">
        <v>107</v>
      </c>
      <c r="N7" s="5">
        <v>174</v>
      </c>
      <c r="O7" s="5">
        <v>214</v>
      </c>
      <c r="P7" s="6" t="str">
        <f t="shared" si="2"/>
        <v>(107, 174, 214)</v>
      </c>
      <c r="Q7" s="20" cm="1">
        <f t="array" ref="Q7">miRGB(M7, N7, O7)</f>
        <v>0</v>
      </c>
    </row>
    <row r="8" spans="1:17" x14ac:dyDescent="0.3">
      <c r="A8" s="2">
        <v>239</v>
      </c>
      <c r="B8" s="2">
        <v>59</v>
      </c>
      <c r="C8" s="2">
        <v>44</v>
      </c>
      <c r="D8" s="6" t="str">
        <f t="shared" si="0"/>
        <v>(239, 59, 44)</v>
      </c>
      <c r="E8" s="30" cm="1">
        <f t="array" ref="E8">miRGB(A8, B8, C8)</f>
        <v>0</v>
      </c>
      <c r="G8" s="2">
        <v>65</v>
      </c>
      <c r="H8" s="2">
        <v>171</v>
      </c>
      <c r="I8" s="2">
        <v>93</v>
      </c>
      <c r="J8" s="6" t="str">
        <f t="shared" si="1"/>
        <v>(65, 171, 93)</v>
      </c>
      <c r="K8" s="9" cm="1">
        <f t="array" ref="K8">miRGB(G8, H8, I8)</f>
        <v>0</v>
      </c>
      <c r="M8" s="5">
        <v>66</v>
      </c>
      <c r="N8" s="5">
        <v>146</v>
      </c>
      <c r="O8" s="5">
        <v>198</v>
      </c>
      <c r="P8" s="6" t="str">
        <f t="shared" si="2"/>
        <v>(66, 146, 198)</v>
      </c>
      <c r="Q8" s="18" cm="1">
        <f t="array" ref="Q8">miRGB(M8, N8, O8)</f>
        <v>0</v>
      </c>
    </row>
    <row r="9" spans="1:17" x14ac:dyDescent="0.3">
      <c r="A9" s="2">
        <v>203</v>
      </c>
      <c r="B9" s="2">
        <v>24</v>
      </c>
      <c r="C9" s="2">
        <v>29</v>
      </c>
      <c r="D9" s="6" t="str">
        <f t="shared" si="0"/>
        <v>(203, 24, 29)</v>
      </c>
      <c r="E9" s="31" cm="1">
        <f t="array" ref="E9">miRGB(A9, B9, C9)</f>
        <v>0</v>
      </c>
      <c r="G9" s="2">
        <v>35</v>
      </c>
      <c r="H9" s="2">
        <v>139</v>
      </c>
      <c r="I9" s="2">
        <v>69</v>
      </c>
      <c r="J9" s="6" t="str">
        <f t="shared" si="1"/>
        <v>(35, 139, 69)</v>
      </c>
      <c r="K9" s="10" cm="1">
        <f t="array" ref="K9">miRGB(G9, H9, I9)</f>
        <v>0</v>
      </c>
      <c r="M9" s="5">
        <v>33</v>
      </c>
      <c r="N9" s="5">
        <v>113</v>
      </c>
      <c r="O9" s="5">
        <v>181</v>
      </c>
      <c r="P9" s="6" t="str">
        <f t="shared" si="2"/>
        <v>(33, 113, 181)</v>
      </c>
      <c r="Q9" s="19" cm="1">
        <f t="array" ref="Q9">miRGB(M9, N9, O9)</f>
        <v>0</v>
      </c>
    </row>
    <row r="10" spans="1:17" x14ac:dyDescent="0.3">
      <c r="A10" s="2">
        <v>165</v>
      </c>
      <c r="B10" s="2">
        <v>15</v>
      </c>
      <c r="C10" s="2">
        <v>21</v>
      </c>
      <c r="D10" s="6" t="str">
        <f t="shared" si="0"/>
        <v>(165, 15, 21)</v>
      </c>
      <c r="E10" s="32" cm="1">
        <f t="array" ref="E10">miRGB(A10, B10, C10)</f>
        <v>0</v>
      </c>
      <c r="G10" s="2">
        <v>0</v>
      </c>
      <c r="H10" s="2">
        <v>109</v>
      </c>
      <c r="I10" s="2">
        <v>44</v>
      </c>
      <c r="J10" s="6" t="str">
        <f t="shared" si="1"/>
        <v>(0, 109, 44)</v>
      </c>
      <c r="K10" s="12" cm="1">
        <f t="array" ref="K10">miRGB(G10, H10, I10)</f>
        <v>0</v>
      </c>
      <c r="M10" s="2">
        <v>8</v>
      </c>
      <c r="N10" s="5">
        <v>81</v>
      </c>
      <c r="O10" s="2">
        <v>156</v>
      </c>
      <c r="P10" s="6" t="str">
        <f t="shared" si="2"/>
        <v>(8, 81, 156)</v>
      </c>
      <c r="Q10" s="24" cm="1">
        <f t="array" ref="Q10">miRGB(M10, N10, O10)</f>
        <v>0</v>
      </c>
    </row>
    <row r="11" spans="1:17" x14ac:dyDescent="0.3">
      <c r="A11" s="2">
        <v>103</v>
      </c>
      <c r="B11" s="2">
        <v>0</v>
      </c>
      <c r="C11" s="2">
        <v>13</v>
      </c>
      <c r="D11" s="6" t="str">
        <f t="shared" si="0"/>
        <v>(103, 0, 13)</v>
      </c>
      <c r="E11" s="33" cm="1">
        <f t="array" ref="E11">miRGB(A11, B11, C11)</f>
        <v>0</v>
      </c>
      <c r="G11" s="2">
        <v>0</v>
      </c>
      <c r="H11" s="2">
        <v>68</v>
      </c>
      <c r="I11" s="2">
        <v>27</v>
      </c>
      <c r="J11" s="6" t="str">
        <f t="shared" si="1"/>
        <v>(0, 68, 27)</v>
      </c>
      <c r="K11" s="15" cm="1">
        <f t="array" ref="K11">miRGB(G11, H11, I11)</f>
        <v>0</v>
      </c>
      <c r="M11" s="2">
        <v>8</v>
      </c>
      <c r="N11" s="5">
        <v>48</v>
      </c>
      <c r="O11" s="2">
        <v>107</v>
      </c>
      <c r="P11" s="6" t="str">
        <f t="shared" si="2"/>
        <v>(8, 48, 107)</v>
      </c>
      <c r="Q11" s="22" cm="1">
        <f t="array" ref="Q11">miRGB(M11, N11, O11)</f>
        <v>0</v>
      </c>
    </row>
    <row r="12" spans="1:17" x14ac:dyDescent="0.3">
      <c r="N12" s="5"/>
      <c r="P12" s="2"/>
    </row>
    <row r="13" spans="1:17" x14ac:dyDescent="0.3">
      <c r="N13" s="5"/>
      <c r="P13" s="2"/>
    </row>
  </sheetData>
  <mergeCells count="3">
    <mergeCell ref="A1:C1"/>
    <mergeCell ref="G1:I1"/>
    <mergeCell ref="M1:O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94362-3740-4CBC-9070-31362763C33F}">
  <sheetPr codeName="Hoja2"/>
  <dimension ref="A1:S15"/>
  <sheetViews>
    <sheetView tabSelected="1" workbookViewId="0">
      <selection activeCell="O3" sqref="O3"/>
    </sheetView>
  </sheetViews>
  <sheetFormatPr baseColWidth="10" defaultRowHeight="14.4" x14ac:dyDescent="0.3"/>
  <cols>
    <col min="1" max="2" width="7.77734375" customWidth="1"/>
    <col min="3" max="7" width="11.5546875" style="2"/>
    <col min="8" max="8" width="7.77734375" style="2" customWidth="1"/>
    <col min="9" max="13" width="11.5546875" style="2"/>
    <col min="14" max="14" width="7.77734375" style="2" customWidth="1"/>
    <col min="15" max="17" width="11.5546875" style="2"/>
  </cols>
  <sheetData>
    <row r="1" spans="1:19" x14ac:dyDescent="0.3">
      <c r="C1" s="34" t="s">
        <v>5</v>
      </c>
      <c r="D1" s="34"/>
      <c r="E1" s="34"/>
      <c r="I1" s="35" t="s">
        <v>0</v>
      </c>
      <c r="J1" s="35"/>
      <c r="K1" s="35"/>
      <c r="O1" s="36" t="s">
        <v>4</v>
      </c>
      <c r="P1" s="36"/>
      <c r="Q1" s="36"/>
    </row>
    <row r="2" spans="1:19" x14ac:dyDescent="0.3">
      <c r="C2" s="1" t="s">
        <v>1</v>
      </c>
      <c r="D2" s="3" t="s">
        <v>2</v>
      </c>
      <c r="E2" s="4" t="s">
        <v>3</v>
      </c>
      <c r="F2" s="2" t="s">
        <v>6</v>
      </c>
      <c r="I2" s="1" t="s">
        <v>1</v>
      </c>
      <c r="J2" s="3" t="s">
        <v>2</v>
      </c>
      <c r="K2" s="4" t="s">
        <v>3</v>
      </c>
      <c r="L2" s="2" t="s">
        <v>6</v>
      </c>
      <c r="O2" s="1" t="s">
        <v>1</v>
      </c>
      <c r="P2" s="3" t="s">
        <v>2</v>
      </c>
      <c r="Q2" s="4" t="s">
        <v>3</v>
      </c>
      <c r="R2" t="s">
        <v>6</v>
      </c>
    </row>
    <row r="3" spans="1:19" x14ac:dyDescent="0.3">
      <c r="A3" s="70">
        <v>1</v>
      </c>
      <c r="C3" s="5">
        <f>MIN(C$13, $A3*(C$14-C$15)/COUNT($A:$A)+C$15)</f>
        <v>255</v>
      </c>
      <c r="D3" s="5">
        <f t="shared" ref="C3:E12" si="0">MIN(D$13, $A3*(D$14-D$15)/COUNT($A:$A)+D$15)</f>
        <v>225</v>
      </c>
      <c r="E3" s="5">
        <f t="shared" ref="E3" si="1">MIN(E$13, $A3*(E$14-E$15)/COUNT($A:$A)+E$15)</f>
        <v>225</v>
      </c>
      <c r="F3" s="6" t="str">
        <f>"("&amp;ROUND(C3, 0)&amp;", "&amp;ROUND(D3, 0)&amp;", "&amp;ROUND(E3, 0)&amp;")"</f>
        <v>(255, 225, 225)</v>
      </c>
      <c r="G3" s="43" cm="1">
        <f t="array" ref="G3">miRGB(C3, D3, E3)</f>
        <v>0</v>
      </c>
      <c r="I3" s="5">
        <f>MIN(I$13, $A3*(I$14-I$15)/COUNT($A:$A)+I$15)</f>
        <v>225</v>
      </c>
      <c r="J3" s="5">
        <f t="shared" ref="J3:K3" si="2">MIN(J$13, $A3*(J$14-J$15)/COUNT($A:$A)+J$15)</f>
        <v>255</v>
      </c>
      <c r="K3" s="5">
        <f t="shared" si="2"/>
        <v>227</v>
      </c>
      <c r="L3" s="6" t="str">
        <f>"("&amp;ROUND(I3, 0)&amp;", "&amp;ROUND(J3, 0)&amp;", "&amp;ROUND(K3, 0)&amp;")"</f>
        <v>(225, 255, 227)</v>
      </c>
      <c r="M3" s="60" cm="1">
        <f t="array" ref="M3">miRGB(I3, J3, K3)</f>
        <v>0</v>
      </c>
      <c r="O3" s="5">
        <f>MIN(O$13, $A3*(O$14-O$15)/COUNT($A:$A)+O$15)</f>
        <v>207</v>
      </c>
      <c r="P3" s="5">
        <f t="shared" ref="P3:Q3" si="3">MIN(P$13, $A3*(P$14-P$15)/COUNT($A:$A)+P$15)</f>
        <v>230</v>
      </c>
      <c r="Q3" s="5">
        <f t="shared" si="3"/>
        <v>255</v>
      </c>
      <c r="R3" s="6" t="str">
        <f>"("&amp;ROUND(O3, 0)&amp;", "&amp;ROUND(P3, 0)&amp;", "&amp;ROUND(Q3, 0)&amp;")"</f>
        <v>(207, 230, 255)</v>
      </c>
      <c r="S3" s="57" cm="1">
        <f t="array" ref="S3">miRGB(O3, P3, Q3)</f>
        <v>0</v>
      </c>
    </row>
    <row r="4" spans="1:19" x14ac:dyDescent="0.3">
      <c r="A4" s="70">
        <v>2</v>
      </c>
      <c r="C4" s="5">
        <f t="shared" si="0"/>
        <v>255</v>
      </c>
      <c r="D4" s="5">
        <f t="shared" si="0"/>
        <v>200</v>
      </c>
      <c r="E4" s="5">
        <f t="shared" si="0"/>
        <v>200</v>
      </c>
      <c r="F4" s="6" t="str">
        <f t="shared" ref="F4:F12" si="4">"("&amp;ROUND(C4, 0)&amp;", "&amp;ROUND(D4, 0)&amp;", "&amp;ROUND(E4, 0)&amp;")"</f>
        <v>(255, 200, 200)</v>
      </c>
      <c r="G4" s="37" cm="1">
        <f t="array" ref="G4">miRGB(C4, D4, E4)</f>
        <v>0</v>
      </c>
      <c r="I4" s="5">
        <f t="shared" ref="I4:K12" si="5">MIN(I$13, $A4*(I$14-I$15)/COUNT($A:$A)+I$15)</f>
        <v>200</v>
      </c>
      <c r="J4" s="5">
        <f t="shared" si="5"/>
        <v>255</v>
      </c>
      <c r="K4" s="5">
        <f t="shared" si="5"/>
        <v>204</v>
      </c>
      <c r="L4" s="6" t="str">
        <f t="shared" ref="L4:L12" si="6">"("&amp;ROUND(I4, 0)&amp;", "&amp;ROUND(J4, 0)&amp;", "&amp;ROUND(K4, 0)&amp;")"</f>
        <v>(200, 255, 204)</v>
      </c>
      <c r="M4" s="62" cm="1">
        <f t="array" ref="M4">miRGB(I4, J4, K4)</f>
        <v>0</v>
      </c>
      <c r="O4" s="5">
        <f t="shared" ref="O4:Q12" si="7">MIN(O$13, $A4*(O$14-O$15)/COUNT($A:$A)+O$15)</f>
        <v>184</v>
      </c>
      <c r="P4" s="5">
        <f t="shared" si="7"/>
        <v>210</v>
      </c>
      <c r="Q4" s="5">
        <f t="shared" si="7"/>
        <v>255</v>
      </c>
      <c r="R4" s="6" t="str">
        <f t="shared" ref="R4:R12" si="8">"("&amp;ROUND(O4, 0)&amp;", "&amp;ROUND(P4, 0)&amp;", "&amp;ROUND(Q4, 0)&amp;")"</f>
        <v>(184, 210, 255)</v>
      </c>
      <c r="S4" s="55" cm="1">
        <f t="array" ref="S4">miRGB(O4, P4, Q4)</f>
        <v>0</v>
      </c>
    </row>
    <row r="5" spans="1:19" x14ac:dyDescent="0.3">
      <c r="A5" s="70">
        <v>3</v>
      </c>
      <c r="C5" s="5">
        <f t="shared" si="0"/>
        <v>255</v>
      </c>
      <c r="D5" s="5">
        <f t="shared" si="0"/>
        <v>175</v>
      </c>
      <c r="E5" s="5">
        <f t="shared" si="0"/>
        <v>175</v>
      </c>
      <c r="F5" s="6" t="str">
        <f t="shared" si="4"/>
        <v>(255, 175, 175)</v>
      </c>
      <c r="G5" s="38" cm="1">
        <f t="array" ref="G5">miRGB(C5, D5, E5)</f>
        <v>0</v>
      </c>
      <c r="I5" s="5">
        <f t="shared" si="5"/>
        <v>175</v>
      </c>
      <c r="J5" s="5">
        <f t="shared" si="5"/>
        <v>255</v>
      </c>
      <c r="K5" s="5">
        <f t="shared" si="5"/>
        <v>181</v>
      </c>
      <c r="L5" s="6" t="str">
        <f t="shared" si="6"/>
        <v>(175, 255, 181)</v>
      </c>
      <c r="M5" s="61" cm="1">
        <f t="array" ref="M5">miRGB(I5, J5, K5)</f>
        <v>0</v>
      </c>
      <c r="O5" s="5">
        <f t="shared" si="7"/>
        <v>161</v>
      </c>
      <c r="P5" s="5">
        <f t="shared" si="7"/>
        <v>190</v>
      </c>
      <c r="Q5" s="5">
        <f t="shared" si="7"/>
        <v>255</v>
      </c>
      <c r="R5" s="6" t="str">
        <f t="shared" si="8"/>
        <v>(161, 190, 255)</v>
      </c>
      <c r="S5" s="54" cm="1">
        <f t="array" ref="S5">miRGB(O5, P5, Q5)</f>
        <v>0</v>
      </c>
    </row>
    <row r="6" spans="1:19" x14ac:dyDescent="0.3">
      <c r="A6" s="70">
        <v>4</v>
      </c>
      <c r="C6" s="5">
        <f t="shared" si="0"/>
        <v>255</v>
      </c>
      <c r="D6" s="5">
        <f t="shared" si="0"/>
        <v>150</v>
      </c>
      <c r="E6" s="5">
        <f t="shared" si="0"/>
        <v>150</v>
      </c>
      <c r="F6" s="6" t="str">
        <f t="shared" si="4"/>
        <v>(255, 150, 150)</v>
      </c>
      <c r="G6" s="44" cm="1">
        <f t="array" ref="G6">miRGB(C6, D6, E6)</f>
        <v>0</v>
      </c>
      <c r="I6" s="5">
        <f t="shared" si="5"/>
        <v>150</v>
      </c>
      <c r="J6" s="5">
        <f t="shared" si="5"/>
        <v>238</v>
      </c>
      <c r="K6" s="5">
        <f t="shared" si="5"/>
        <v>158</v>
      </c>
      <c r="L6" s="6" t="str">
        <f t="shared" si="6"/>
        <v>(150, 238, 158)</v>
      </c>
      <c r="M6" s="68" cm="1">
        <f t="array" ref="M6">miRGB(I6, J6, K6)</f>
        <v>0</v>
      </c>
      <c r="O6" s="5">
        <f t="shared" si="7"/>
        <v>138</v>
      </c>
      <c r="P6" s="5">
        <f t="shared" si="7"/>
        <v>170</v>
      </c>
      <c r="Q6" s="5">
        <f t="shared" si="7"/>
        <v>250</v>
      </c>
      <c r="R6" s="6" t="str">
        <f t="shared" si="8"/>
        <v>(138, 170, 250)</v>
      </c>
      <c r="S6" s="53" cm="1">
        <f t="array" ref="S6">miRGB(O6, P6, Q6)</f>
        <v>0</v>
      </c>
    </row>
    <row r="7" spans="1:19" x14ac:dyDescent="0.3">
      <c r="A7" s="70">
        <v>5</v>
      </c>
      <c r="C7" s="5">
        <f t="shared" si="0"/>
        <v>255</v>
      </c>
      <c r="D7" s="5">
        <f t="shared" si="0"/>
        <v>125</v>
      </c>
      <c r="E7" s="5">
        <f t="shared" si="0"/>
        <v>125</v>
      </c>
      <c r="F7" s="6" t="str">
        <f t="shared" si="4"/>
        <v>(255, 125, 125)</v>
      </c>
      <c r="G7" s="49" cm="1">
        <f t="array" ref="G7">miRGB(C7, D7, E7)</f>
        <v>0</v>
      </c>
      <c r="I7" s="5">
        <f t="shared" si="5"/>
        <v>125</v>
      </c>
      <c r="J7" s="5">
        <f t="shared" si="5"/>
        <v>210</v>
      </c>
      <c r="K7" s="5">
        <f t="shared" si="5"/>
        <v>135</v>
      </c>
      <c r="L7" s="6" t="str">
        <f t="shared" si="6"/>
        <v>(125, 210, 135)</v>
      </c>
      <c r="M7" s="66" cm="1">
        <f t="array" ref="M7">miRGB(I7, J7, K7)</f>
        <v>0</v>
      </c>
      <c r="O7" s="5">
        <f t="shared" si="7"/>
        <v>115</v>
      </c>
      <c r="P7" s="5">
        <f t="shared" si="7"/>
        <v>150</v>
      </c>
      <c r="Q7" s="5">
        <f t="shared" si="7"/>
        <v>225</v>
      </c>
      <c r="R7" s="6" t="str">
        <f t="shared" si="8"/>
        <v>(115, 150, 225)</v>
      </c>
      <c r="S7" s="59" cm="1">
        <f t="array" ref="S7">miRGB(O7, P7, Q7)</f>
        <v>0</v>
      </c>
    </row>
    <row r="8" spans="1:19" x14ac:dyDescent="0.3">
      <c r="A8" s="70">
        <v>6</v>
      </c>
      <c r="C8" s="5">
        <f t="shared" si="0"/>
        <v>255</v>
      </c>
      <c r="D8" s="5">
        <f t="shared" si="0"/>
        <v>100</v>
      </c>
      <c r="E8" s="5">
        <f t="shared" si="0"/>
        <v>100</v>
      </c>
      <c r="F8" s="6" t="str">
        <f t="shared" si="4"/>
        <v>(255, 100, 100)</v>
      </c>
      <c r="G8" s="45" cm="1">
        <f t="array" ref="G8">miRGB(C8, D8, E8)</f>
        <v>0</v>
      </c>
      <c r="I8" s="5">
        <f t="shared" si="5"/>
        <v>100</v>
      </c>
      <c r="J8" s="5">
        <f t="shared" si="5"/>
        <v>182</v>
      </c>
      <c r="K8" s="5">
        <f t="shared" si="5"/>
        <v>112</v>
      </c>
      <c r="L8" s="6" t="str">
        <f t="shared" si="6"/>
        <v>(100, 182, 112)</v>
      </c>
      <c r="M8" s="67" cm="1">
        <f t="array" ref="M8">miRGB(I8, J8, K8)</f>
        <v>0</v>
      </c>
      <c r="O8" s="5">
        <f t="shared" si="7"/>
        <v>92</v>
      </c>
      <c r="P8" s="5">
        <f t="shared" si="7"/>
        <v>130</v>
      </c>
      <c r="Q8" s="5">
        <f t="shared" si="7"/>
        <v>200</v>
      </c>
      <c r="R8" s="6" t="str">
        <f t="shared" si="8"/>
        <v>(92, 130, 200)</v>
      </c>
      <c r="S8" s="52" cm="1">
        <f t="array" ref="S8">miRGB(O8, P8, Q8)</f>
        <v>0</v>
      </c>
    </row>
    <row r="9" spans="1:19" x14ac:dyDescent="0.3">
      <c r="A9" s="70">
        <v>7</v>
      </c>
      <c r="C9" s="5">
        <f t="shared" si="0"/>
        <v>220</v>
      </c>
      <c r="D9" s="5">
        <f t="shared" si="0"/>
        <v>75</v>
      </c>
      <c r="E9" s="5">
        <f t="shared" si="0"/>
        <v>75</v>
      </c>
      <c r="F9" s="6" t="str">
        <f t="shared" si="4"/>
        <v>(220, 75, 75)</v>
      </c>
      <c r="G9" s="46" cm="1">
        <f t="array" ref="G9">miRGB(C9, D9, E9)</f>
        <v>0</v>
      </c>
      <c r="I9" s="5">
        <f t="shared" si="5"/>
        <v>75</v>
      </c>
      <c r="J9" s="5">
        <f t="shared" si="5"/>
        <v>154</v>
      </c>
      <c r="K9" s="5">
        <f t="shared" si="5"/>
        <v>89</v>
      </c>
      <c r="L9" s="6" t="str">
        <f t="shared" si="6"/>
        <v>(75, 154, 89)</v>
      </c>
      <c r="M9" s="69" cm="1">
        <f t="array" ref="M9">miRGB(I9, J9, K9)</f>
        <v>0</v>
      </c>
      <c r="O9" s="5">
        <f t="shared" si="7"/>
        <v>69</v>
      </c>
      <c r="P9" s="5">
        <f t="shared" si="7"/>
        <v>110</v>
      </c>
      <c r="Q9" s="5">
        <f t="shared" si="7"/>
        <v>175</v>
      </c>
      <c r="R9" s="6" t="str">
        <f t="shared" si="8"/>
        <v>(69, 110, 175)</v>
      </c>
      <c r="S9" s="58" cm="1">
        <f t="array" ref="S9">miRGB(O9, P9, Q9)</f>
        <v>0</v>
      </c>
    </row>
    <row r="10" spans="1:19" x14ac:dyDescent="0.3">
      <c r="A10" s="70">
        <v>8</v>
      </c>
      <c r="C10" s="5">
        <f t="shared" si="0"/>
        <v>180</v>
      </c>
      <c r="D10" s="5">
        <f t="shared" si="0"/>
        <v>50</v>
      </c>
      <c r="E10" s="5">
        <f t="shared" si="0"/>
        <v>50</v>
      </c>
      <c r="F10" s="6" t="str">
        <f t="shared" si="4"/>
        <v>(180, 50, 50)</v>
      </c>
      <c r="G10" s="47" cm="1">
        <f t="array" ref="G10">miRGB(C10, D10, E10)</f>
        <v>0</v>
      </c>
      <c r="I10" s="5">
        <f t="shared" si="5"/>
        <v>50</v>
      </c>
      <c r="J10" s="5">
        <f t="shared" si="5"/>
        <v>126</v>
      </c>
      <c r="K10" s="5">
        <f t="shared" si="5"/>
        <v>66</v>
      </c>
      <c r="L10" s="6" t="str">
        <f t="shared" si="6"/>
        <v>(50, 126, 66)</v>
      </c>
      <c r="M10" s="63" cm="1">
        <f t="array" ref="M10">miRGB(I10, J10, K10)</f>
        <v>0</v>
      </c>
      <c r="O10" s="5">
        <f t="shared" si="7"/>
        <v>46</v>
      </c>
      <c r="P10" s="5">
        <f t="shared" si="7"/>
        <v>90</v>
      </c>
      <c r="Q10" s="5">
        <f t="shared" si="7"/>
        <v>150</v>
      </c>
      <c r="R10" s="6" t="str">
        <f t="shared" si="8"/>
        <v>(46, 90, 150)</v>
      </c>
      <c r="S10" s="51" cm="1">
        <f t="array" ref="S10">miRGB(O10, P10, Q10)</f>
        <v>0</v>
      </c>
    </row>
    <row r="11" spans="1:19" x14ac:dyDescent="0.3">
      <c r="A11" s="70">
        <v>9</v>
      </c>
      <c r="C11" s="5">
        <f t="shared" si="0"/>
        <v>140</v>
      </c>
      <c r="D11" s="5">
        <f t="shared" si="0"/>
        <v>25</v>
      </c>
      <c r="E11" s="5">
        <f t="shared" si="0"/>
        <v>25</v>
      </c>
      <c r="F11" s="6" t="str">
        <f t="shared" si="4"/>
        <v>(140, 25, 25)</v>
      </c>
      <c r="G11" s="48" cm="1">
        <f t="array" ref="G11">miRGB(C11, D11, E11)</f>
        <v>0</v>
      </c>
      <c r="I11" s="5">
        <f t="shared" si="5"/>
        <v>25</v>
      </c>
      <c r="J11" s="5">
        <f t="shared" si="5"/>
        <v>98</v>
      </c>
      <c r="K11" s="5">
        <f t="shared" si="5"/>
        <v>43</v>
      </c>
      <c r="L11" s="6" t="str">
        <f t="shared" si="6"/>
        <v>(25, 98, 43)</v>
      </c>
      <c r="M11" s="64" cm="1">
        <f t="array" ref="M11">miRGB(I11, J11, K11)</f>
        <v>0</v>
      </c>
      <c r="O11" s="5">
        <f t="shared" si="7"/>
        <v>23</v>
      </c>
      <c r="P11" s="5">
        <f t="shared" si="7"/>
        <v>70</v>
      </c>
      <c r="Q11" s="5">
        <f t="shared" si="7"/>
        <v>125</v>
      </c>
      <c r="R11" s="6" t="str">
        <f t="shared" si="8"/>
        <v>(23, 70, 125)</v>
      </c>
      <c r="S11" s="56" cm="1">
        <f t="array" ref="S11">miRGB(O11, P11, Q11)</f>
        <v>0</v>
      </c>
    </row>
    <row r="12" spans="1:19" x14ac:dyDescent="0.3">
      <c r="A12" s="70">
        <v>10</v>
      </c>
      <c r="C12" s="5">
        <f t="shared" si="0"/>
        <v>100</v>
      </c>
      <c r="D12" s="5">
        <f t="shared" si="0"/>
        <v>0</v>
      </c>
      <c r="E12" s="5">
        <f t="shared" si="0"/>
        <v>0</v>
      </c>
      <c r="F12" s="6" t="str">
        <f t="shared" si="4"/>
        <v>(100, 0, 0)</v>
      </c>
      <c r="G12" s="42" cm="1">
        <f t="array" ref="G12">miRGB(C12, D12, E12)</f>
        <v>0</v>
      </c>
      <c r="I12" s="5">
        <f t="shared" si="5"/>
        <v>0</v>
      </c>
      <c r="J12" s="5">
        <f t="shared" si="5"/>
        <v>70</v>
      </c>
      <c r="K12" s="5">
        <f t="shared" si="5"/>
        <v>20</v>
      </c>
      <c r="L12" s="6" t="str">
        <f t="shared" si="6"/>
        <v>(0, 70, 20)</v>
      </c>
      <c r="M12" s="65" cm="1">
        <f t="array" ref="M12">miRGB(I12, J12, K12)</f>
        <v>0</v>
      </c>
      <c r="O12" s="5">
        <f t="shared" si="7"/>
        <v>0</v>
      </c>
      <c r="P12" s="5">
        <f t="shared" si="7"/>
        <v>50</v>
      </c>
      <c r="Q12" s="5">
        <f t="shared" si="7"/>
        <v>100</v>
      </c>
      <c r="R12" s="6" t="str">
        <f t="shared" si="8"/>
        <v>(0, 50, 100)</v>
      </c>
      <c r="S12" s="50" cm="1">
        <f t="array" ref="S12">miRGB(O12, P12, Q12)</f>
        <v>0</v>
      </c>
    </row>
    <row r="13" spans="1:19" x14ac:dyDescent="0.3">
      <c r="A13" s="70" t="s">
        <v>7</v>
      </c>
      <c r="C13" s="40">
        <v>255</v>
      </c>
      <c r="D13" s="40">
        <v>240</v>
      </c>
      <c r="E13" s="40">
        <v>240</v>
      </c>
      <c r="F13" s="6"/>
      <c r="G13" s="39"/>
      <c r="I13" s="41">
        <v>240</v>
      </c>
      <c r="J13" s="41">
        <v>255</v>
      </c>
      <c r="K13" s="41">
        <v>250</v>
      </c>
      <c r="L13" s="6"/>
      <c r="M13" s="39"/>
      <c r="O13" s="41">
        <v>220</v>
      </c>
      <c r="P13" s="40">
        <v>240</v>
      </c>
      <c r="Q13" s="41">
        <v>255</v>
      </c>
      <c r="R13" s="6"/>
      <c r="S13" s="39"/>
    </row>
    <row r="14" spans="1:19" x14ac:dyDescent="0.3">
      <c r="A14" s="70" t="s">
        <v>8</v>
      </c>
      <c r="C14" s="41">
        <v>100</v>
      </c>
      <c r="D14" s="41">
        <v>0</v>
      </c>
      <c r="E14" s="41">
        <v>0</v>
      </c>
      <c r="I14" s="41">
        <v>0</v>
      </c>
      <c r="J14" s="41">
        <v>70</v>
      </c>
      <c r="K14" s="41">
        <v>20</v>
      </c>
      <c r="O14" s="41">
        <v>0</v>
      </c>
      <c r="P14" s="41">
        <v>50</v>
      </c>
      <c r="Q14" s="41">
        <v>100</v>
      </c>
    </row>
    <row r="15" spans="1:19" x14ac:dyDescent="0.3">
      <c r="A15" s="70" t="s">
        <v>9</v>
      </c>
      <c r="C15" s="41">
        <v>500</v>
      </c>
      <c r="D15" s="41">
        <v>250</v>
      </c>
      <c r="E15" s="41">
        <v>250</v>
      </c>
      <c r="I15" s="41">
        <v>250</v>
      </c>
      <c r="J15" s="41">
        <v>350</v>
      </c>
      <c r="K15" s="41">
        <v>250</v>
      </c>
      <c r="O15" s="41">
        <v>230</v>
      </c>
      <c r="P15" s="41">
        <v>250</v>
      </c>
      <c r="Q15" s="41">
        <v>350</v>
      </c>
    </row>
  </sheetData>
  <mergeCells count="3">
    <mergeCell ref="C1:E1"/>
    <mergeCell ref="I1:K1"/>
    <mergeCell ref="O1:Q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colorbrewer2.org </vt:lpstr>
      <vt:lpstr>customs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Fuertes Sémelas</dc:creator>
  <cp:lastModifiedBy>Gonzalo Fuertes Sémelas</cp:lastModifiedBy>
  <dcterms:created xsi:type="dcterms:W3CDTF">2022-12-12T01:19:40Z</dcterms:created>
  <dcterms:modified xsi:type="dcterms:W3CDTF">2022-12-27T23:22:53Z</dcterms:modified>
</cp:coreProperties>
</file>